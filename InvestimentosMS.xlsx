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ditx-my.sharepoint.com/personal/brenerabdala_opportune_com_br/Documents/Área de Trabalho/Empresas/00 - RELATÓRIOS PY/05 - MORAES E SILVEIRA/Fluxo/"/>
    </mc:Choice>
  </mc:AlternateContent>
  <xr:revisionPtr revIDLastSave="79" documentId="8_{4EBC69E0-A69E-4E14-86DF-FC36B25B4FAE}" xr6:coauthVersionLast="47" xr6:coauthVersionMax="47" xr10:uidLastSave="{9A8D2C2B-C555-49D5-B59A-6E5D21BE0D1D}"/>
  <bookViews>
    <workbookView xWindow="28680" yWindow="-120" windowWidth="20730" windowHeight="11040" activeTab="1" xr2:uid="{67466C72-A111-4A1E-9790-BC4DA43420BE}"/>
  </bookViews>
  <sheets>
    <sheet name="Sheet1" sheetId="1" r:id="rId1"/>
    <sheet name="Sheet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2" i="4"/>
  <c r="F3" i="1"/>
  <c r="F4" i="1"/>
  <c r="F5" i="1"/>
  <c r="F6" i="1"/>
  <c r="F7" i="1"/>
  <c r="F8" i="1"/>
  <c r="F2" i="1"/>
  <c r="C8" i="1"/>
  <c r="C7" i="1"/>
  <c r="C5" i="1"/>
  <c r="C6" i="1"/>
  <c r="C4" i="1"/>
  <c r="C3" i="1"/>
  <c r="C2" i="1"/>
</calcChain>
</file>

<file path=xl/sharedStrings.xml><?xml version="1.0" encoding="utf-8"?>
<sst xmlns="http://schemas.openxmlformats.org/spreadsheetml/2006/main" count="84" uniqueCount="38">
  <si>
    <t>Valor</t>
  </si>
  <si>
    <t>Mês</t>
  </si>
  <si>
    <t>Pagamento mensal de Consórcio (55.114,01) ; Pagamento referente a compra de Veículos (56.500)</t>
  </si>
  <si>
    <t xml:space="preserve">Pagamento mensal de Consórcio (55.373,84) ; Investimento em Projeto Holding (31.580); Compra de Veículos(27.000) </t>
  </si>
  <si>
    <t>Pagamento Mensal de Consórcio(55.374,03); Investimento em Projeto Holding(106.691,58); Compra de Veículos(27.125,74)</t>
  </si>
  <si>
    <t>Pagamento Mensal de Consórcio(55.744,45); Investimento em Projeto Holding(32.193,18); Compra de Veículos(27.000,74); Compra de Imobilizado(R$2711,61)</t>
  </si>
  <si>
    <t>Pagamento Mensal de Consórcio(55.851,29); Investimento em Projeto Holding(3800,00); Compra de Veículos(250.000,00); Compra de Imobilizado(2711,61)</t>
  </si>
  <si>
    <t>Pagamento Mensal de Consórcio(28.609,90); Investimento em Projeto Holding(3338,00); Compra de Veículos(14.960,00); Compra de Imobilizado(89.829,62)</t>
  </si>
  <si>
    <t>Pagamento Mensal de Consórcio(38.162,00);Compra de Imobilizado(29.102,27)</t>
  </si>
  <si>
    <t>Movimentação - Moraes</t>
  </si>
  <si>
    <t>Movimentação - SB</t>
  </si>
  <si>
    <t>Consórcio (5.085,78); Imobilizado (27.000,00)</t>
  </si>
  <si>
    <t>Consórcio (4.969,45); Imobilizado (687.000,00)</t>
  </si>
  <si>
    <t>Consórcio (4.971,33); Imobilizado (27.000,00)</t>
  </si>
  <si>
    <t>Consórcio (4.981,36); Imobilizado (917.000,00)</t>
  </si>
  <si>
    <t>Consórcio (4.981,60); Imobilizado (300.000,00)</t>
  </si>
  <si>
    <t>Consórcio (8.669,02);</t>
  </si>
  <si>
    <t>Consórcio (5.046,67);</t>
  </si>
  <si>
    <t>Classificação Caixa</t>
  </si>
  <si>
    <t>Máscara</t>
  </si>
  <si>
    <t>Ano</t>
  </si>
  <si>
    <t>MesNome</t>
  </si>
  <si>
    <t>Soma de Valor</t>
  </si>
  <si>
    <t>Janeiro</t>
  </si>
  <si>
    <t>Fevereiro</t>
  </si>
  <si>
    <t>Março</t>
  </si>
  <si>
    <t>Abril</t>
  </si>
  <si>
    <t>Maio</t>
  </si>
  <si>
    <t>Junho</t>
  </si>
  <si>
    <t>Julho</t>
  </si>
  <si>
    <t>(Em branco)</t>
  </si>
  <si>
    <t>TOTAL</t>
  </si>
  <si>
    <t>G - Despesas Financeiras/ Receita</t>
  </si>
  <si>
    <t>Juros s/ Financiamentos</t>
  </si>
  <si>
    <t>Agosto</t>
  </si>
  <si>
    <t>H - Emprestimos/Financiamentos</t>
  </si>
  <si>
    <t>FINAME</t>
  </si>
  <si>
    <t>Quitação endividamento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</si>
</sst>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6" x14ac:knownFonts="1">
    <font>
      <sz val="11"/>
      <color theme="1"/>
      <name val="Georgia Pro Cond"/>
      <family val="2"/>
    </font>
    <font>
      <sz val="11"/>
      <color theme="1"/>
      <name val="Georgia Pro Cond"/>
      <family val="2"/>
    </font>
    <font>
      <sz val="10"/>
      <color theme="1"/>
      <name val="Georgia Pro Cond"/>
      <family val="2"/>
    </font>
    <font>
      <b/>
      <sz val="10"/>
      <color theme="1"/>
      <name val="Georgia Pro Cond"/>
      <family val="1"/>
    </font>
    <font>
      <b/>
      <sz val="11"/>
      <color theme="1"/>
      <name val="Georgia Pro Cond"/>
      <family val="1"/>
    </font>
    <font>
      <sz val="8"/>
      <name val="Georgia Pro Cond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7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8" fontId="3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8" fontId="3" fillId="0" borderId="1" xfId="0" applyNumberFormat="1" applyFont="1" applyBorder="1" applyAlignment="1">
      <alignment horizontal="center" vertical="center"/>
    </xf>
    <xf numFmtId="8" fontId="4" fillId="0" borderId="1" xfId="0" applyNumberFormat="1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8" fontId="0" fillId="0" borderId="0" xfId="0" applyNumberFormat="1"/>
    <xf numFmtId="44" fontId="0" fillId="0" borderId="0" xfId="1" applyFont="1"/>
    <xf numFmtId="0" fontId="0" fillId="0" borderId="1" xfId="0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102B9-274D-4063-A75E-DD0A63560352}">
  <dimension ref="A1:F8"/>
  <sheetViews>
    <sheetView showGridLines="0" topLeftCell="B1" workbookViewId="0">
      <selection sqref="A1:F8"/>
    </sheetView>
  </sheetViews>
  <sheetFormatPr defaultRowHeight="14.25" x14ac:dyDescent="0.2"/>
  <cols>
    <col min="1" max="1" width="13.375" customWidth="1"/>
    <col min="2" max="2" width="54.125" customWidth="1"/>
    <col min="3" max="3" width="26.125" customWidth="1"/>
    <col min="4" max="4" width="31" customWidth="1"/>
    <col min="5" max="5" width="20" customWidth="1"/>
    <col min="6" max="6" width="15.625" customWidth="1"/>
  </cols>
  <sheetData>
    <row r="1" spans="1:6" x14ac:dyDescent="0.2">
      <c r="A1" s="4" t="s">
        <v>1</v>
      </c>
      <c r="B1" s="4" t="s">
        <v>9</v>
      </c>
      <c r="C1" s="4" t="s">
        <v>0</v>
      </c>
      <c r="D1" s="4" t="s">
        <v>10</v>
      </c>
      <c r="E1" s="7" t="s">
        <v>0</v>
      </c>
      <c r="F1" s="7" t="s">
        <v>31</v>
      </c>
    </row>
    <row r="2" spans="1:6" ht="28.5" x14ac:dyDescent="0.2">
      <c r="A2" s="1">
        <v>46023</v>
      </c>
      <c r="B2" s="2" t="s">
        <v>2</v>
      </c>
      <c r="C2" s="3">
        <f>-(56500+55114.01)</f>
        <v>-111614.01000000001</v>
      </c>
      <c r="D2" s="10" t="s">
        <v>11</v>
      </c>
      <c r="E2" s="3">
        <v>-32085.78</v>
      </c>
      <c r="F2" s="8">
        <f>C2+E2</f>
        <v>-143699.79</v>
      </c>
    </row>
    <row r="3" spans="1:6" ht="28.5" x14ac:dyDescent="0.2">
      <c r="A3" s="1">
        <v>46054</v>
      </c>
      <c r="B3" s="2" t="s">
        <v>3</v>
      </c>
      <c r="C3" s="3">
        <f>27000-31580-55373.84</f>
        <v>-59953.84</v>
      </c>
      <c r="D3" s="10" t="s">
        <v>12</v>
      </c>
      <c r="E3" s="3">
        <v>-691969.45</v>
      </c>
      <c r="F3" s="8">
        <f t="shared" ref="F3:F8" si="0">C3+E3</f>
        <v>-751923.28999999992</v>
      </c>
    </row>
    <row r="4" spans="1:6" ht="28.5" x14ac:dyDescent="0.2">
      <c r="A4" s="1">
        <v>46082</v>
      </c>
      <c r="B4" s="2" t="s">
        <v>4</v>
      </c>
      <c r="C4" s="5">
        <f>55374.03+106691.58+27125.74</f>
        <v>189191.34999999998</v>
      </c>
      <c r="D4" s="10" t="s">
        <v>13</v>
      </c>
      <c r="E4" s="5">
        <v>-31971.33</v>
      </c>
      <c r="F4" s="8">
        <f t="shared" si="0"/>
        <v>157220.01999999996</v>
      </c>
    </row>
    <row r="5" spans="1:6" ht="38.25" x14ac:dyDescent="0.2">
      <c r="A5" s="1">
        <v>46113</v>
      </c>
      <c r="B5" s="2" t="s">
        <v>5</v>
      </c>
      <c r="C5" s="6">
        <f>232350.75-350000</f>
        <v>-117649.25</v>
      </c>
      <c r="D5" s="10" t="s">
        <v>14</v>
      </c>
      <c r="E5" s="6">
        <v>-921981.36</v>
      </c>
      <c r="F5" s="8">
        <f t="shared" si="0"/>
        <v>-1039630.61</v>
      </c>
    </row>
    <row r="6" spans="1:6" ht="38.25" x14ac:dyDescent="0.2">
      <c r="A6" s="1">
        <v>46143</v>
      </c>
      <c r="B6" s="2" t="s">
        <v>6</v>
      </c>
      <c r="C6" s="5">
        <f>577637.1-890000</f>
        <v>-312362.90000000002</v>
      </c>
      <c r="D6" s="10" t="s">
        <v>15</v>
      </c>
      <c r="E6" s="5">
        <v>-304981.59999999998</v>
      </c>
      <c r="F6" s="8">
        <f t="shared" si="0"/>
        <v>-617344.5</v>
      </c>
    </row>
    <row r="7" spans="1:6" ht="38.25" x14ac:dyDescent="0.2">
      <c r="A7" s="1">
        <v>46174</v>
      </c>
      <c r="B7" s="2" t="s">
        <v>7</v>
      </c>
      <c r="C7" s="5">
        <f>-131845.04+4892.48</f>
        <v>-126952.56000000001</v>
      </c>
      <c r="D7" s="10" t="s">
        <v>16</v>
      </c>
      <c r="E7" s="5">
        <v>-8669.02</v>
      </c>
      <c r="F7" s="8">
        <f t="shared" si="0"/>
        <v>-135621.58000000002</v>
      </c>
    </row>
    <row r="8" spans="1:6" ht="25.5" x14ac:dyDescent="0.2">
      <c r="A8" s="1">
        <v>46204</v>
      </c>
      <c r="B8" s="2" t="s">
        <v>8</v>
      </c>
      <c r="C8" s="5">
        <f>242735.73-310000</f>
        <v>-67264.26999999999</v>
      </c>
      <c r="D8" s="10" t="s">
        <v>17</v>
      </c>
      <c r="E8" s="5">
        <v>-5046.67</v>
      </c>
      <c r="F8" s="8">
        <f t="shared" si="0"/>
        <v>-72310.939999999988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3E5EB-C9ED-4380-B140-46D28835E2C6}">
  <dimension ref="A1:I25"/>
  <sheetViews>
    <sheetView tabSelected="1" workbookViewId="0">
      <selection activeCell="I2" sqref="I2:I8"/>
    </sheetView>
  </sheetViews>
  <sheetFormatPr defaultRowHeight="14.25" x14ac:dyDescent="0.2"/>
  <cols>
    <col min="9" max="9" width="15.375" customWidth="1"/>
  </cols>
  <sheetData>
    <row r="1" spans="1:9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  <c r="H1" t="s">
        <v>1</v>
      </c>
      <c r="I1" t="s">
        <v>37</v>
      </c>
    </row>
    <row r="2" spans="1:9" x14ac:dyDescent="0.2">
      <c r="A2" t="s">
        <v>32</v>
      </c>
      <c r="B2" t="s">
        <v>33</v>
      </c>
      <c r="C2">
        <v>2026</v>
      </c>
      <c r="D2" t="s">
        <v>23</v>
      </c>
      <c r="E2" s="8">
        <v>-105152.51</v>
      </c>
      <c r="H2" t="s">
        <v>23</v>
      </c>
      <c r="I2" s="9">
        <f>SUMIFS($E:$E,$D:$D,H2,$C:$C,2026)</f>
        <v>-549879.65</v>
      </c>
    </row>
    <row r="3" spans="1:9" x14ac:dyDescent="0.2">
      <c r="A3" t="s">
        <v>32</v>
      </c>
      <c r="B3" t="s">
        <v>33</v>
      </c>
      <c r="C3">
        <v>2026</v>
      </c>
      <c r="D3" t="s">
        <v>24</v>
      </c>
      <c r="E3" s="8">
        <v>-109311.75</v>
      </c>
      <c r="H3" t="s">
        <v>24</v>
      </c>
      <c r="I3" s="9">
        <f t="shared" ref="I3:I8" si="0">SUMIFS($E:$E,$D:$D,H3,$C:$C,2026)</f>
        <v>-553761.28000000003</v>
      </c>
    </row>
    <row r="4" spans="1:9" x14ac:dyDescent="0.2">
      <c r="A4" t="s">
        <v>32</v>
      </c>
      <c r="B4" t="s">
        <v>33</v>
      </c>
      <c r="C4">
        <v>2026</v>
      </c>
      <c r="D4" t="s">
        <v>25</v>
      </c>
      <c r="E4" s="8">
        <v>-82411.06</v>
      </c>
      <c r="H4" t="s">
        <v>25</v>
      </c>
      <c r="I4" s="9">
        <f t="shared" si="0"/>
        <v>-512100.13</v>
      </c>
    </row>
    <row r="5" spans="1:9" x14ac:dyDescent="0.2">
      <c r="A5" t="s">
        <v>32</v>
      </c>
      <c r="B5" t="s">
        <v>33</v>
      </c>
      <c r="C5">
        <v>2026</v>
      </c>
      <c r="D5" t="s">
        <v>26</v>
      </c>
      <c r="E5" s="8">
        <v>-89151.27</v>
      </c>
      <c r="H5" t="s">
        <v>26</v>
      </c>
      <c r="I5" s="9">
        <f t="shared" si="0"/>
        <v>-489598.08</v>
      </c>
    </row>
    <row r="6" spans="1:9" x14ac:dyDescent="0.2">
      <c r="A6" t="s">
        <v>32</v>
      </c>
      <c r="B6" t="s">
        <v>33</v>
      </c>
      <c r="C6">
        <v>2026</v>
      </c>
      <c r="D6" t="s">
        <v>27</v>
      </c>
      <c r="E6" s="8">
        <v>-85321.1</v>
      </c>
      <c r="H6" t="s">
        <v>27</v>
      </c>
      <c r="I6" s="9">
        <f t="shared" si="0"/>
        <v>-485498.74</v>
      </c>
    </row>
    <row r="7" spans="1:9" x14ac:dyDescent="0.2">
      <c r="A7" t="s">
        <v>32</v>
      </c>
      <c r="B7" t="s">
        <v>33</v>
      </c>
      <c r="C7">
        <v>2026</v>
      </c>
      <c r="D7" t="s">
        <v>28</v>
      </c>
      <c r="E7" s="8">
        <v>-83801.41</v>
      </c>
      <c r="H7" t="s">
        <v>28</v>
      </c>
      <c r="I7" s="9">
        <f t="shared" si="0"/>
        <v>-483714.23</v>
      </c>
    </row>
    <row r="8" spans="1:9" x14ac:dyDescent="0.2">
      <c r="A8" t="s">
        <v>32</v>
      </c>
      <c r="B8" t="s">
        <v>33</v>
      </c>
      <c r="C8">
        <v>2026</v>
      </c>
      <c r="D8" t="s">
        <v>29</v>
      </c>
      <c r="E8" s="8">
        <v>-111052.46</v>
      </c>
      <c r="H8" t="s">
        <v>29</v>
      </c>
      <c r="I8" s="9">
        <f t="shared" si="0"/>
        <v>-586225.32999999996</v>
      </c>
    </row>
    <row r="9" spans="1:9" x14ac:dyDescent="0.2">
      <c r="A9" t="s">
        <v>32</v>
      </c>
      <c r="B9" t="s">
        <v>33</v>
      </c>
      <c r="C9">
        <v>2026</v>
      </c>
      <c r="D9" t="s">
        <v>34</v>
      </c>
      <c r="E9" s="8" t="s">
        <v>30</v>
      </c>
    </row>
    <row r="10" spans="1:9" x14ac:dyDescent="0.2">
      <c r="A10" t="s">
        <v>35</v>
      </c>
      <c r="B10" t="s">
        <v>36</v>
      </c>
      <c r="C10">
        <v>2026</v>
      </c>
      <c r="D10" t="s">
        <v>23</v>
      </c>
      <c r="E10" s="8">
        <v>-444727.14</v>
      </c>
    </row>
    <row r="11" spans="1:9" x14ac:dyDescent="0.2">
      <c r="A11" t="s">
        <v>35</v>
      </c>
      <c r="B11" t="s">
        <v>36</v>
      </c>
      <c r="C11">
        <v>2026</v>
      </c>
      <c r="D11" t="s">
        <v>24</v>
      </c>
      <c r="E11" s="8">
        <v>-444449.53</v>
      </c>
    </row>
    <row r="12" spans="1:9" x14ac:dyDescent="0.2">
      <c r="A12" t="s">
        <v>35</v>
      </c>
      <c r="B12" t="s">
        <v>36</v>
      </c>
      <c r="C12">
        <v>2026</v>
      </c>
      <c r="D12" t="s">
        <v>25</v>
      </c>
      <c r="E12" s="8">
        <v>-429689.07</v>
      </c>
    </row>
    <row r="13" spans="1:9" x14ac:dyDescent="0.2">
      <c r="A13" t="s">
        <v>35</v>
      </c>
      <c r="B13" t="s">
        <v>36</v>
      </c>
      <c r="C13">
        <v>2026</v>
      </c>
      <c r="D13" t="s">
        <v>26</v>
      </c>
      <c r="E13" s="8">
        <v>-400446.81</v>
      </c>
    </row>
    <row r="14" spans="1:9" x14ac:dyDescent="0.2">
      <c r="A14" t="s">
        <v>35</v>
      </c>
      <c r="B14" t="s">
        <v>36</v>
      </c>
      <c r="C14">
        <v>2026</v>
      </c>
      <c r="D14" t="s">
        <v>27</v>
      </c>
      <c r="E14" s="8">
        <v>-400177.64</v>
      </c>
    </row>
    <row r="15" spans="1:9" x14ac:dyDescent="0.2">
      <c r="A15" t="s">
        <v>35</v>
      </c>
      <c r="B15" t="s">
        <v>36</v>
      </c>
      <c r="C15">
        <v>2026</v>
      </c>
      <c r="D15" t="s">
        <v>28</v>
      </c>
      <c r="E15" s="8">
        <v>-399912.82</v>
      </c>
    </row>
    <row r="16" spans="1:9" x14ac:dyDescent="0.2">
      <c r="A16" t="s">
        <v>35</v>
      </c>
      <c r="B16" t="s">
        <v>36</v>
      </c>
      <c r="C16">
        <v>2026</v>
      </c>
      <c r="D16" t="s">
        <v>29</v>
      </c>
      <c r="E16" s="8">
        <v>-475172.87</v>
      </c>
    </row>
    <row r="17" spans="1:5" x14ac:dyDescent="0.2">
      <c r="A17" t="s">
        <v>35</v>
      </c>
      <c r="B17" t="s">
        <v>36</v>
      </c>
      <c r="C17">
        <v>2026</v>
      </c>
      <c r="D17" t="s">
        <v>34</v>
      </c>
      <c r="E17" s="8" t="s">
        <v>30</v>
      </c>
    </row>
    <row r="18" spans="1:5" x14ac:dyDescent="0.2">
      <c r="E18" s="8"/>
    </row>
    <row r="19" spans="1:5" x14ac:dyDescent="0.2">
      <c r="E19" s="8"/>
    </row>
    <row r="20" spans="1:5" x14ac:dyDescent="0.2">
      <c r="E20" s="8"/>
    </row>
    <row r="21" spans="1:5" x14ac:dyDescent="0.2">
      <c r="E21" s="8"/>
    </row>
    <row r="22" spans="1:5" x14ac:dyDescent="0.2">
      <c r="E22" s="8"/>
    </row>
    <row r="23" spans="1:5" x14ac:dyDescent="0.2">
      <c r="E23" s="8"/>
    </row>
    <row r="24" spans="1:5" x14ac:dyDescent="0.2">
      <c r="E24" s="8"/>
    </row>
    <row r="25" spans="1:5" x14ac:dyDescent="0.2">
      <c r="E25" s="8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Brener Kuster Gomes Abdala</dc:creator>
  <cp:lastModifiedBy>Brener Kuster Gomes Abdala</cp:lastModifiedBy>
  <dcterms:created xsi:type="dcterms:W3CDTF">2026-08-13T20:23:49Z</dcterms:created>
  <dcterms:modified xsi:type="dcterms:W3CDTF">2026-08-13T21:38:55Z</dcterms:modified>
</cp:coreProperties>
</file>